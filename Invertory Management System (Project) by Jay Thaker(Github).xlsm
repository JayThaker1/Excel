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hidePivotFieldList="1" defaultThemeVersion="164011"/>
  <mc:AlternateContent xmlns:mc="http://schemas.openxmlformats.org/markup-compatibility/2006">
    <mc:Choice Requires="x15">
      <x15ac:absPath xmlns:x15ac="http://schemas.microsoft.com/office/spreadsheetml/2010/11/ac" url="C:\Users\thake\Desktop\"/>
    </mc:Choice>
  </mc:AlternateContent>
  <bookViews>
    <workbookView xWindow="0" yWindow="0" windowWidth="20295" windowHeight="7620"/>
  </bookViews>
  <sheets>
    <sheet name="Home Screen" sheetId="1" r:id="rId1"/>
    <sheet name="Purchase" sheetId="2" r:id="rId2"/>
    <sheet name="Sales" sheetId="7" r:id="rId3"/>
    <sheet name="Stocks" sheetId="8" r:id="rId4"/>
    <sheet name="New Entry List" sheetId="11" r:id="rId5"/>
  </sheets>
  <definedNames>
    <definedName name="_xlnm._FilterDatabase" localSheetId="1" hidden="1">Purchase!$B$5:$H$23</definedName>
    <definedName name="_xlnm.Extract" localSheetId="3">Stocks!$B$5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4" i="1" l="1"/>
  <c r="D13" i="1"/>
  <c r="H10" i="1" l="1"/>
  <c r="H11" i="1" s="1"/>
  <c r="D8" i="1"/>
  <c r="B7" i="2"/>
  <c r="H9" i="1" l="1"/>
  <c r="D7" i="8"/>
  <c r="D8" i="8"/>
  <c r="D9" i="8"/>
  <c r="D10" i="8"/>
  <c r="C7" i="8"/>
  <c r="C10" i="8"/>
  <c r="C9" i="8"/>
  <c r="E9" i="8" s="1"/>
  <c r="C8" i="8"/>
  <c r="E10" i="8" l="1"/>
  <c r="E7" i="8"/>
  <c r="E8" i="8"/>
</calcChain>
</file>

<file path=xl/sharedStrings.xml><?xml version="1.0" encoding="utf-8"?>
<sst xmlns="http://schemas.openxmlformats.org/spreadsheetml/2006/main" count="62" uniqueCount="33">
  <si>
    <t xml:space="preserve">Inventory Management Software </t>
  </si>
  <si>
    <t>Entry Type</t>
  </si>
  <si>
    <t>Last Billed</t>
  </si>
  <si>
    <t>Purchase Entry</t>
  </si>
  <si>
    <t>Sales Entry</t>
  </si>
  <si>
    <t>Item</t>
  </si>
  <si>
    <t>Purchase Quantity</t>
  </si>
  <si>
    <t>Sales Quantity</t>
  </si>
  <si>
    <t>Balance Stock</t>
  </si>
  <si>
    <t>GST @</t>
  </si>
  <si>
    <t>Landing cost Per Piece</t>
  </si>
  <si>
    <t>Grand Total</t>
  </si>
  <si>
    <t>Landing Cost (Per Piece)</t>
  </si>
  <si>
    <t>GST (Inclusive)</t>
  </si>
  <si>
    <t>Quantity</t>
  </si>
  <si>
    <t>Date</t>
  </si>
  <si>
    <t>Bill No</t>
  </si>
  <si>
    <t>GST rate in %</t>
  </si>
  <si>
    <t>Make Entry Here</t>
  </si>
  <si>
    <t>Asus  Rog Zyphrus G14 (32 GB Ram)</t>
  </si>
  <si>
    <t>Lenovo Legion Y550 (8GB Ram)</t>
  </si>
  <si>
    <t>HP Omen (8GB Ram)</t>
  </si>
  <si>
    <t>Stocks</t>
  </si>
  <si>
    <t xml:space="preserve">Dell Inspiron (4Gb RAM) </t>
  </si>
  <si>
    <t>Check Data Here</t>
  </si>
  <si>
    <t>Purchase Price</t>
  </si>
  <si>
    <t>Available Quantity</t>
  </si>
  <si>
    <t>Desktop</t>
  </si>
  <si>
    <t>Enter a new Item</t>
  </si>
  <si>
    <t xml:space="preserve">Purchase </t>
  </si>
  <si>
    <t>(Inclusive Tax)</t>
  </si>
  <si>
    <t>Mouse</t>
  </si>
  <si>
    <t>Moniter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</si>
</sst>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3" formatCode="_ * #,##0.00_ ;_ * \-#,##0.00_ ;_ * &quot;-&quot;??_ ;_ @_ "/>
    <numFmt numFmtId="164" formatCode="_ * #,##0_ ;_ * \-#,##0_ ;_ * &quot;-&quot;??_ ;_ @_ "/>
  </numFmts>
  <fonts count="1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22"/>
      <color theme="5" tint="-0.249977111117893"/>
      <name val="Baskerville Old Face"/>
      <family val="1"/>
    </font>
    <font>
      <sz val="11"/>
      <color theme="1"/>
      <name val="EngraversGothic BT"/>
      <family val="2"/>
    </font>
    <font>
      <sz val="12"/>
      <color theme="1"/>
      <name val="EngraversGothic BT"/>
      <family val="2"/>
    </font>
    <font>
      <b/>
      <sz val="12"/>
      <color theme="1"/>
      <name val="EngraversGothic BT"/>
      <family val="2"/>
    </font>
    <font>
      <b/>
      <sz val="14"/>
      <color theme="1"/>
      <name val="EngraversGothic BT"/>
      <family val="2"/>
    </font>
    <font>
      <b/>
      <sz val="16"/>
      <color theme="1"/>
      <name val="EngraversGothic BT"/>
      <family val="2"/>
    </font>
    <font>
      <b/>
      <sz val="16"/>
      <color theme="1"/>
      <name val="Calibri"/>
      <family val="2"/>
      <scheme val="minor"/>
    </font>
    <font>
      <b/>
      <sz val="22"/>
      <color theme="1"/>
      <name val="Baskerville Old Face"/>
      <family val="1"/>
    </font>
    <font>
      <sz val="11"/>
      <color theme="1"/>
      <name val="Book Antiqua"/>
      <family val="1"/>
    </font>
    <font>
      <sz val="16"/>
      <color theme="1"/>
      <name val="Baskerville Old Face"/>
      <family val="1"/>
    </font>
    <font>
      <sz val="12"/>
      <color theme="1"/>
      <name val="Calibri"/>
      <family val="2"/>
      <scheme val="minor"/>
    </font>
    <font>
      <sz val="8"/>
      <color theme="1"/>
      <name val="Book Antiqua"/>
      <family val="1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92D050"/>
        <bgColor indexed="64"/>
      </patternFill>
    </fill>
  </fills>
  <borders count="2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theme="4" tint="0.39997558519241921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4" tint="0.3999755851924192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4" tint="0.39997558519241921"/>
      </right>
      <top style="thin">
        <color theme="4" tint="0.39997558519241921"/>
      </top>
      <bottom style="thin">
        <color indexed="64"/>
      </bottom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111">
    <xf numFmtId="0" fontId="0" fillId="0" borderId="0" xfId="0"/>
    <xf numFmtId="0" fontId="2" fillId="0" borderId="0" xfId="0" applyFont="1" applyFill="1" applyBorder="1" applyAlignment="1">
      <alignment vertical="center"/>
    </xf>
    <xf numFmtId="0" fontId="7" fillId="4" borderId="14" xfId="0" applyFont="1" applyFill="1" applyBorder="1" applyAlignment="1">
      <alignment horizontal="center" vertical="center"/>
    </xf>
    <xf numFmtId="0" fontId="7" fillId="4" borderId="14" xfId="0" applyFont="1" applyFill="1" applyBorder="1" applyAlignment="1">
      <alignment horizontal="center" vertical="center" wrapText="1"/>
    </xf>
    <xf numFmtId="0" fontId="7" fillId="0" borderId="15" xfId="0" applyFont="1" applyFill="1" applyBorder="1" applyAlignment="1">
      <alignment horizontal="center" vertical="center" wrapText="1"/>
    </xf>
    <xf numFmtId="0" fontId="0" fillId="0" borderId="0" xfId="0" applyAlignment="1"/>
    <xf numFmtId="14" fontId="4" fillId="0" borderId="9" xfId="0" applyNumberFormat="1" applyFont="1" applyFill="1" applyBorder="1" applyAlignment="1">
      <alignment horizontal="right" vertical="center"/>
    </xf>
    <xf numFmtId="0" fontId="7" fillId="4" borderId="14" xfId="0" applyFont="1" applyFill="1" applyBorder="1" applyAlignment="1" applyProtection="1">
      <alignment horizontal="center" vertical="center"/>
      <protection locked="0"/>
    </xf>
    <xf numFmtId="0" fontId="4" fillId="0" borderId="9" xfId="0" applyNumberFormat="1" applyFont="1" applyFill="1" applyBorder="1" applyAlignment="1">
      <alignment horizontal="right" vertical="center"/>
    </xf>
    <xf numFmtId="0" fontId="0" fillId="0" borderId="9" xfId="0" applyBorder="1"/>
    <xf numFmtId="0" fontId="4" fillId="0" borderId="20" xfId="0" applyNumberFormat="1" applyFont="1" applyBorder="1" applyAlignment="1">
      <alignment horizontal="right" vertical="center"/>
    </xf>
    <xf numFmtId="14" fontId="4" fillId="0" borderId="22" xfId="0" applyNumberFormat="1" applyFont="1" applyBorder="1" applyAlignment="1">
      <alignment horizontal="right" vertical="center"/>
    </xf>
    <xf numFmtId="0" fontId="4" fillId="0" borderId="22" xfId="0" applyNumberFormat="1" applyFont="1" applyBorder="1" applyAlignment="1">
      <alignment horizontal="right" vertical="center"/>
    </xf>
    <xf numFmtId="0" fontId="4" fillId="0" borderId="23" xfId="0" applyNumberFormat="1" applyFont="1" applyBorder="1" applyAlignment="1">
      <alignment horizontal="right" vertical="center"/>
    </xf>
    <xf numFmtId="0" fontId="9" fillId="2" borderId="1" xfId="0" applyFont="1" applyFill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0" fillId="2" borderId="0" xfId="0" applyFill="1" applyBorder="1" applyAlignment="1">
      <alignment horizontal="center" vertical="center"/>
    </xf>
    <xf numFmtId="0" fontId="0" fillId="2" borderId="5" xfId="0" applyFill="1" applyBorder="1" applyAlignment="1">
      <alignment horizontal="center" vertical="center"/>
    </xf>
    <xf numFmtId="0" fontId="0" fillId="2" borderId="6" xfId="0" applyFill="1" applyBorder="1" applyAlignment="1">
      <alignment horizontal="center" vertical="center"/>
    </xf>
    <xf numFmtId="0" fontId="0" fillId="2" borderId="7" xfId="0" applyFill="1" applyBorder="1" applyAlignment="1">
      <alignment horizontal="center" vertical="center"/>
    </xf>
    <xf numFmtId="0" fontId="0" fillId="2" borderId="8" xfId="0" applyFill="1" applyBorder="1" applyAlignment="1">
      <alignment horizontal="center" vertical="center"/>
    </xf>
    <xf numFmtId="0" fontId="0" fillId="0" borderId="0" xfId="0" applyProtection="1">
      <protection locked="0"/>
    </xf>
    <xf numFmtId="0" fontId="5" fillId="5" borderId="9" xfId="0" applyFont="1" applyFill="1" applyBorder="1" applyAlignment="1" applyProtection="1">
      <alignment horizontal="right" vertical="center"/>
      <protection locked="0"/>
    </xf>
    <xf numFmtId="0" fontId="5" fillId="0" borderId="0" xfId="0" applyFont="1" applyFill="1" applyBorder="1" applyAlignment="1" applyProtection="1">
      <alignment vertical="center"/>
      <protection locked="0"/>
    </xf>
    <xf numFmtId="14" fontId="5" fillId="5" borderId="9" xfId="0" applyNumberFormat="1" applyFont="1" applyFill="1" applyBorder="1" applyAlignment="1" applyProtection="1">
      <alignment horizontal="right" vertical="center"/>
      <protection locked="0"/>
    </xf>
    <xf numFmtId="14" fontId="5" fillId="0" borderId="0" xfId="0" applyNumberFormat="1" applyFont="1" applyFill="1" applyBorder="1" applyAlignment="1" applyProtection="1">
      <alignment vertical="center"/>
      <protection locked="0"/>
    </xf>
    <xf numFmtId="0" fontId="5" fillId="5" borderId="9" xfId="0" applyNumberFormat="1" applyFont="1" applyFill="1" applyBorder="1" applyAlignment="1" applyProtection="1">
      <alignment horizontal="right" vertical="center"/>
      <protection locked="0"/>
    </xf>
    <xf numFmtId="164" fontId="5" fillId="5" borderId="9" xfId="1" applyNumberFormat="1" applyFont="1" applyFill="1" applyBorder="1" applyAlignment="1" applyProtection="1">
      <alignment horizontal="right" vertical="center"/>
      <protection locked="0"/>
    </xf>
    <xf numFmtId="164" fontId="5" fillId="0" borderId="0" xfId="1" applyNumberFormat="1" applyFont="1" applyFill="1" applyBorder="1" applyAlignment="1" applyProtection="1">
      <alignment vertical="center"/>
      <protection locked="0"/>
    </xf>
    <xf numFmtId="14" fontId="0" fillId="0" borderId="0" xfId="0" applyNumberFormat="1" applyProtection="1">
      <protection locked="0"/>
    </xf>
    <xf numFmtId="0" fontId="13" fillId="0" borderId="0" xfId="0" applyFont="1" applyProtection="1">
      <protection locked="0"/>
    </xf>
    <xf numFmtId="0" fontId="10" fillId="0" borderId="0" xfId="0" applyFont="1" applyProtection="1">
      <protection locked="0"/>
    </xf>
    <xf numFmtId="0" fontId="7" fillId="4" borderId="21" xfId="0" applyFont="1" applyFill="1" applyBorder="1" applyAlignment="1" applyProtection="1">
      <alignment vertical="center"/>
      <protection locked="0"/>
    </xf>
    <xf numFmtId="0" fontId="4" fillId="0" borderId="20" xfId="0" applyNumberFormat="1" applyFont="1" applyBorder="1" applyAlignment="1" applyProtection="1">
      <alignment horizontal="right" vertical="center"/>
      <protection locked="0"/>
    </xf>
    <xf numFmtId="0" fontId="8" fillId="0" borderId="0" xfId="0" applyFont="1" applyFill="1" applyBorder="1" applyAlignment="1" applyProtection="1">
      <alignment vertical="center"/>
      <protection locked="0"/>
    </xf>
    <xf numFmtId="0" fontId="0" fillId="0" borderId="0" xfId="0" applyFill="1" applyBorder="1" applyProtection="1">
      <protection locked="0"/>
    </xf>
    <xf numFmtId="0" fontId="5" fillId="5" borderId="9" xfId="0" applyFont="1" applyFill="1" applyBorder="1" applyAlignment="1" applyProtection="1">
      <alignment horizontal="right" vertical="center"/>
      <protection hidden="1"/>
    </xf>
    <xf numFmtId="0" fontId="3" fillId="5" borderId="9" xfId="0" applyFont="1" applyFill="1" applyBorder="1" applyAlignment="1" applyProtection="1">
      <alignment horizontal="center" vertical="center"/>
      <protection hidden="1"/>
    </xf>
    <xf numFmtId="164" fontId="5" fillId="3" borderId="9" xfId="1" applyNumberFormat="1" applyFont="1" applyFill="1" applyBorder="1" applyAlignment="1" applyProtection="1">
      <alignment horizontal="right" vertical="center"/>
      <protection hidden="1"/>
    </xf>
    <xf numFmtId="43" fontId="5" fillId="3" borderId="9" xfId="1" applyNumberFormat="1" applyFont="1" applyFill="1" applyBorder="1" applyAlignment="1" applyProtection="1">
      <alignment horizontal="right" vertical="center"/>
      <protection hidden="1"/>
    </xf>
    <xf numFmtId="0" fontId="0" fillId="0" borderId="9" xfId="0" applyBorder="1" applyProtection="1">
      <protection hidden="1"/>
    </xf>
    <xf numFmtId="0" fontId="0" fillId="0" borderId="9" xfId="0" applyNumberFormat="1" applyFont="1" applyBorder="1" applyProtection="1">
      <protection hidden="1"/>
    </xf>
    <xf numFmtId="0" fontId="2" fillId="2" borderId="1" xfId="0" applyFont="1" applyFill="1" applyBorder="1" applyAlignment="1" applyProtection="1">
      <alignment horizontal="center" vertical="center"/>
    </xf>
    <xf numFmtId="0" fontId="2" fillId="2" borderId="2" xfId="0" applyFont="1" applyFill="1" applyBorder="1" applyAlignment="1" applyProtection="1">
      <alignment horizontal="center" vertical="center"/>
    </xf>
    <xf numFmtId="0" fontId="2" fillId="2" borderId="3" xfId="0" applyFont="1" applyFill="1" applyBorder="1" applyAlignment="1" applyProtection="1">
      <alignment horizontal="center" vertical="center"/>
    </xf>
    <xf numFmtId="0" fontId="2" fillId="2" borderId="4" xfId="0" applyFont="1" applyFill="1" applyBorder="1" applyAlignment="1" applyProtection="1">
      <alignment horizontal="center" vertical="center"/>
    </xf>
    <xf numFmtId="0" fontId="2" fillId="2" borderId="0" xfId="0" applyFont="1" applyFill="1" applyBorder="1" applyAlignment="1" applyProtection="1">
      <alignment horizontal="center" vertical="center"/>
    </xf>
    <xf numFmtId="0" fontId="2" fillId="2" borderId="5" xfId="0" applyFont="1" applyFill="1" applyBorder="1" applyAlignment="1" applyProtection="1">
      <alignment horizontal="center" vertical="center"/>
    </xf>
    <xf numFmtId="0" fontId="2" fillId="2" borderId="6" xfId="0" applyFont="1" applyFill="1" applyBorder="1" applyAlignment="1" applyProtection="1">
      <alignment horizontal="center" vertical="center"/>
    </xf>
    <xf numFmtId="0" fontId="2" fillId="2" borderId="7" xfId="0" applyFont="1" applyFill="1" applyBorder="1" applyAlignment="1" applyProtection="1">
      <alignment horizontal="center" vertical="center"/>
    </xf>
    <xf numFmtId="0" fontId="2" fillId="2" borderId="8" xfId="0" applyFont="1" applyFill="1" applyBorder="1" applyAlignment="1" applyProtection="1">
      <alignment horizontal="center" vertical="center"/>
    </xf>
    <xf numFmtId="0" fontId="11" fillId="6" borderId="16" xfId="0" applyFont="1" applyFill="1" applyBorder="1" applyAlignment="1" applyProtection="1">
      <alignment horizontal="center" vertical="center"/>
    </xf>
    <xf numFmtId="0" fontId="11" fillId="6" borderId="17" xfId="0" applyFont="1" applyFill="1" applyBorder="1" applyAlignment="1" applyProtection="1">
      <alignment horizontal="center" vertical="center"/>
    </xf>
    <xf numFmtId="0" fontId="11" fillId="6" borderId="18" xfId="0" applyFont="1" applyFill="1" applyBorder="1" applyAlignment="1" applyProtection="1">
      <alignment horizontal="center" vertical="center"/>
    </xf>
    <xf numFmtId="0" fontId="7" fillId="4" borderId="10" xfId="0" applyFont="1" applyFill="1" applyBorder="1" applyAlignment="1" applyProtection="1">
      <alignment horizontal="center" vertical="center"/>
    </xf>
    <xf numFmtId="0" fontId="7" fillId="5" borderId="9" xfId="0" applyFont="1" applyFill="1" applyBorder="1" applyAlignment="1" applyProtection="1">
      <alignment horizontal="center" vertical="center"/>
    </xf>
    <xf numFmtId="0" fontId="7" fillId="4" borderId="19" xfId="0" applyFont="1" applyFill="1" applyBorder="1" applyAlignment="1" applyProtection="1">
      <alignment horizontal="center"/>
    </xf>
    <xf numFmtId="0" fontId="6" fillId="4" borderId="1" xfId="0" applyFont="1" applyFill="1" applyBorder="1" applyAlignment="1" applyProtection="1">
      <alignment horizontal="center" vertical="center"/>
    </xf>
    <xf numFmtId="0" fontId="5" fillId="4" borderId="9" xfId="0" applyFont="1" applyFill="1" applyBorder="1" applyAlignment="1" applyProtection="1">
      <alignment vertical="center"/>
    </xf>
    <xf numFmtId="0" fontId="7" fillId="4" borderId="10" xfId="0" applyFont="1" applyFill="1" applyBorder="1" applyAlignment="1" applyProtection="1">
      <alignment horizontal="center" vertical="center"/>
    </xf>
    <xf numFmtId="0" fontId="8" fillId="4" borderId="11" xfId="0" applyFont="1" applyFill="1" applyBorder="1" applyAlignment="1" applyProtection="1">
      <alignment horizontal="center" vertical="center"/>
    </xf>
    <xf numFmtId="0" fontId="7" fillId="4" borderId="12" xfId="0" applyFont="1" applyFill="1" applyBorder="1" applyAlignment="1" applyProtection="1">
      <alignment horizontal="center" vertical="center"/>
    </xf>
    <xf numFmtId="0" fontId="8" fillId="4" borderId="13" xfId="0" applyFont="1" applyFill="1" applyBorder="1" applyAlignment="1" applyProtection="1">
      <alignment horizontal="center" vertical="center"/>
    </xf>
    <xf numFmtId="0" fontId="7" fillId="4" borderId="12" xfId="0" applyFont="1" applyFill="1" applyBorder="1" applyAlignment="1" applyProtection="1">
      <alignment vertical="center"/>
    </xf>
    <xf numFmtId="0" fontId="6" fillId="4" borderId="13" xfId="0" applyFont="1" applyFill="1" applyBorder="1" applyAlignment="1" applyProtection="1">
      <alignment vertical="center"/>
    </xf>
    <xf numFmtId="0" fontId="7" fillId="0" borderId="15" xfId="0" applyFont="1" applyFill="1" applyBorder="1" applyAlignment="1" applyProtection="1">
      <alignment horizontal="center" vertical="center" wrapText="1"/>
    </xf>
    <xf numFmtId="0" fontId="5" fillId="0" borderId="15" xfId="0" applyFont="1" applyFill="1" applyBorder="1" applyAlignment="1" applyProtection="1">
      <alignment horizontal="right" vertical="center" wrapText="1"/>
    </xf>
    <xf numFmtId="0" fontId="5" fillId="0" borderId="0" xfId="0" applyFont="1" applyFill="1" applyBorder="1" applyAlignment="1" applyProtection="1">
      <alignment horizontal="right" vertical="center"/>
    </xf>
    <xf numFmtId="164" fontId="5" fillId="0" borderId="0" xfId="0" applyNumberFormat="1" applyFont="1" applyFill="1" applyBorder="1" applyAlignment="1" applyProtection="1">
      <alignment horizontal="right" vertical="center" wrapText="1"/>
    </xf>
    <xf numFmtId="43" fontId="7" fillId="0" borderId="0" xfId="0" applyNumberFormat="1" applyFont="1" applyFill="1" applyBorder="1" applyAlignment="1" applyProtection="1">
      <alignment horizontal="center" vertical="center" wrapText="1"/>
    </xf>
    <xf numFmtId="0" fontId="4" fillId="0" borderId="9" xfId="0" applyFont="1" applyFill="1" applyBorder="1" applyAlignment="1" applyProtection="1">
      <alignment horizontal="right" vertical="center"/>
    </xf>
    <xf numFmtId="14" fontId="4" fillId="0" borderId="9" xfId="0" applyNumberFormat="1" applyFont="1" applyFill="1" applyBorder="1" applyAlignment="1" applyProtection="1">
      <alignment horizontal="right" vertical="center"/>
    </xf>
    <xf numFmtId="0" fontId="4" fillId="0" borderId="9" xfId="0" applyNumberFormat="1" applyFont="1" applyFill="1" applyBorder="1" applyAlignment="1" applyProtection="1">
      <alignment horizontal="right" vertical="center"/>
    </xf>
    <xf numFmtId="164" fontId="4" fillId="0" borderId="9" xfId="1" applyNumberFormat="1" applyFont="1" applyFill="1" applyBorder="1" applyAlignment="1" applyProtection="1">
      <alignment horizontal="right" vertical="center"/>
    </xf>
    <xf numFmtId="0" fontId="4" fillId="0" borderId="13" xfId="0" applyFont="1" applyFill="1" applyBorder="1" applyAlignment="1" applyProtection="1">
      <alignment vertical="center"/>
    </xf>
    <xf numFmtId="164" fontId="4" fillId="0" borderId="0" xfId="0" applyNumberFormat="1" applyFont="1" applyFill="1" applyBorder="1" applyAlignment="1" applyProtection="1">
      <alignment horizontal="right" vertical="center" wrapText="1"/>
    </xf>
    <xf numFmtId="43" fontId="4" fillId="0" borderId="0" xfId="0" applyNumberFormat="1" applyFont="1" applyFill="1" applyBorder="1" applyAlignment="1" applyProtection="1">
      <alignment horizontal="center" vertical="center" wrapText="1"/>
    </xf>
    <xf numFmtId="0" fontId="12" fillId="0" borderId="13" xfId="0" applyFont="1" applyFill="1" applyBorder="1" applyAlignment="1" applyProtection="1">
      <alignment vertical="center"/>
    </xf>
    <xf numFmtId="14" fontId="5" fillId="0" borderId="0" xfId="0" applyNumberFormat="1" applyFont="1" applyFill="1" applyBorder="1" applyAlignment="1" applyProtection="1">
      <alignment horizontal="right" vertical="center"/>
    </xf>
    <xf numFmtId="164" fontId="5" fillId="0" borderId="0" xfId="1" applyNumberFormat="1" applyFont="1" applyFill="1" applyBorder="1" applyAlignment="1" applyProtection="1">
      <alignment horizontal="right" vertical="center"/>
    </xf>
    <xf numFmtId="43" fontId="5" fillId="0" borderId="0" xfId="0" applyNumberFormat="1" applyFont="1" applyFill="1" applyBorder="1" applyAlignment="1" applyProtection="1">
      <alignment horizontal="center" vertical="center" wrapText="1"/>
    </xf>
    <xf numFmtId="43" fontId="5" fillId="0" borderId="0" xfId="1" applyNumberFormat="1" applyFont="1" applyFill="1" applyBorder="1" applyAlignment="1" applyProtection="1">
      <alignment horizontal="right" vertical="center"/>
    </xf>
    <xf numFmtId="0" fontId="5" fillId="0" borderId="0" xfId="0" applyFont="1" applyFill="1" applyBorder="1" applyAlignment="1" applyProtection="1">
      <alignment horizontal="right" vertical="center" wrapText="1"/>
    </xf>
    <xf numFmtId="14" fontId="5" fillId="0" borderId="0" xfId="0" applyNumberFormat="1" applyFont="1" applyFill="1" applyBorder="1" applyAlignment="1" applyProtection="1">
      <alignment horizontal="right" vertical="center" wrapText="1"/>
    </xf>
    <xf numFmtId="164" fontId="5" fillId="0" borderId="0" xfId="1" applyNumberFormat="1" applyFont="1" applyFill="1" applyBorder="1" applyAlignment="1" applyProtection="1">
      <alignment horizontal="right" vertical="center" wrapText="1"/>
    </xf>
    <xf numFmtId="0" fontId="0" fillId="0" borderId="0" xfId="0" applyFill="1" applyAlignment="1" applyProtection="1">
      <alignment wrapText="1"/>
    </xf>
    <xf numFmtId="0" fontId="0" fillId="0" borderId="0" xfId="0" applyFill="1" applyAlignment="1" applyProtection="1"/>
    <xf numFmtId="164" fontId="0" fillId="0" borderId="0" xfId="0" applyNumberFormat="1" applyFill="1" applyBorder="1" applyAlignment="1" applyProtection="1">
      <alignment wrapText="1"/>
    </xf>
    <xf numFmtId="43" fontId="0" fillId="0" borderId="0" xfId="0" applyNumberFormat="1" applyFill="1" applyBorder="1" applyAlignment="1" applyProtection="1">
      <alignment wrapText="1"/>
    </xf>
    <xf numFmtId="0" fontId="0" fillId="0" borderId="0" xfId="0" applyProtection="1"/>
    <xf numFmtId="0" fontId="0" fillId="0" borderId="0" xfId="0" applyAlignment="1" applyProtection="1"/>
    <xf numFmtId="0" fontId="9" fillId="2" borderId="1" xfId="0" applyFont="1" applyFill="1" applyBorder="1" applyAlignment="1" applyProtection="1">
      <alignment horizontal="center" vertical="center"/>
    </xf>
    <xf numFmtId="0" fontId="0" fillId="2" borderId="2" xfId="0" applyFill="1" applyBorder="1" applyAlignment="1" applyProtection="1">
      <alignment horizontal="center" vertical="center"/>
    </xf>
    <xf numFmtId="0" fontId="0" fillId="2" borderId="3" xfId="0" applyFill="1" applyBorder="1" applyAlignment="1" applyProtection="1">
      <alignment horizontal="center" vertical="center"/>
    </xf>
    <xf numFmtId="0" fontId="0" fillId="2" borderId="4" xfId="0" applyFill="1" applyBorder="1" applyAlignment="1" applyProtection="1">
      <alignment horizontal="center" vertical="center"/>
    </xf>
    <xf numFmtId="0" fontId="0" fillId="2" borderId="0" xfId="0" applyFill="1" applyBorder="1" applyAlignment="1" applyProtection="1">
      <alignment horizontal="center" vertical="center"/>
    </xf>
    <xf numFmtId="0" fontId="0" fillId="2" borderId="5" xfId="0" applyFill="1" applyBorder="1" applyAlignment="1" applyProtection="1">
      <alignment horizontal="center" vertical="center"/>
    </xf>
    <xf numFmtId="0" fontId="2" fillId="0" borderId="0" xfId="0" applyFont="1" applyFill="1" applyBorder="1" applyAlignment="1" applyProtection="1">
      <alignment vertical="center"/>
    </xf>
    <xf numFmtId="0" fontId="0" fillId="2" borderId="6" xfId="0" applyFill="1" applyBorder="1" applyAlignment="1" applyProtection="1">
      <alignment horizontal="center" vertical="center"/>
    </xf>
    <xf numFmtId="0" fontId="0" fillId="2" borderId="7" xfId="0" applyFill="1" applyBorder="1" applyAlignment="1" applyProtection="1">
      <alignment horizontal="center" vertical="center"/>
    </xf>
    <xf numFmtId="0" fontId="0" fillId="2" borderId="8" xfId="0" applyFill="1" applyBorder="1" applyAlignment="1" applyProtection="1">
      <alignment horizontal="center" vertical="center"/>
    </xf>
    <xf numFmtId="0" fontId="7" fillId="4" borderId="14" xfId="0" applyFont="1" applyFill="1" applyBorder="1" applyAlignment="1" applyProtection="1">
      <alignment horizontal="center" vertical="center"/>
    </xf>
    <xf numFmtId="0" fontId="7" fillId="4" borderId="14" xfId="0" applyFont="1" applyFill="1" applyBorder="1" applyAlignment="1" applyProtection="1">
      <alignment horizontal="center" vertical="center" wrapText="1"/>
    </xf>
    <xf numFmtId="0" fontId="7" fillId="0" borderId="0" xfId="0" applyFont="1" applyFill="1" applyBorder="1" applyAlignment="1" applyProtection="1">
      <alignment horizontal="center" vertical="center" wrapText="1"/>
    </xf>
    <xf numFmtId="0" fontId="4" fillId="0" borderId="0" xfId="0" applyFont="1" applyFill="1" applyBorder="1" applyAlignment="1" applyProtection="1">
      <alignment horizontal="right" vertical="center"/>
    </xf>
    <xf numFmtId="14" fontId="4" fillId="0" borderId="0" xfId="0" applyNumberFormat="1" applyFont="1" applyFill="1" applyBorder="1" applyAlignment="1" applyProtection="1">
      <alignment horizontal="right" vertical="center"/>
    </xf>
    <xf numFmtId="0" fontId="4" fillId="0" borderId="0" xfId="0" applyNumberFormat="1" applyFont="1" applyFill="1" applyBorder="1" applyAlignment="1" applyProtection="1">
      <alignment horizontal="right" vertical="center"/>
    </xf>
    <xf numFmtId="164" fontId="4" fillId="0" borderId="0" xfId="1" applyNumberFormat="1" applyFont="1" applyFill="1" applyBorder="1" applyAlignment="1" applyProtection="1">
      <alignment horizontal="right" vertical="center"/>
    </xf>
    <xf numFmtId="0" fontId="12" fillId="0" borderId="0" xfId="0" applyFont="1" applyFill="1" applyBorder="1" applyAlignment="1" applyProtection="1">
      <alignment vertical="center"/>
    </xf>
  </cellXfs>
  <cellStyles count="2">
    <cellStyle name="Comma" xfId="1" builtinId="3"/>
    <cellStyle name="Normal" xfId="0" builtinId="0"/>
  </cellStyles>
  <dxfs count="28">
    <dxf>
      <fill>
        <patternFill patternType="none">
          <fgColor rgb="FF000000"/>
          <bgColor auto="1"/>
        </patternFill>
      </fill>
      <alignment textRotation="0" wrapText="1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EngraversGothic BT"/>
        <scheme val="none"/>
      </font>
      <fill>
        <patternFill patternType="solid">
          <fgColor indexed="64"/>
          <bgColor theme="7"/>
        </patternFill>
      </fill>
      <alignment horizontal="center" vertical="center" textRotation="0" wrapText="0" indent="0" justifyLastLine="0" shrinkToFit="0" readingOrder="0"/>
      <protection locked="1" hidden="0"/>
    </dxf>
    <dxf>
      <numFmt numFmtId="35" formatCode="_ * #,##0.00_ ;_ * \-#,##0.00_ ;_ * &quot;-&quot;??_ ;_ @_ "/>
      <fill>
        <patternFill patternType="none">
          <fgColor indexed="64"/>
          <bgColor auto="1"/>
        </patternFill>
      </fill>
      <alignment textRotation="0" wrapText="1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EngraversGothic BT"/>
        <scheme val="none"/>
      </font>
      <numFmt numFmtId="164" formatCode="_ * #,##0_ ;_ * \-#,##0_ ;_ * &quot;-&quot;??_ ;_ @_ "/>
      <fill>
        <patternFill patternType="none">
          <fgColor indexed="64"/>
          <bgColor auto="1"/>
        </patternFill>
      </fill>
      <alignment horizontal="right" vertical="center" textRotation="0" wrapText="1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EngraversGothic BT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EngraversGothic BT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1" indent="0" justifyLastLine="0" shrinkToFit="0" readingOrder="0"/>
      <protection locked="1" hidden="0"/>
    </dxf>
    <dxf>
      <fill>
        <patternFill patternType="none">
          <fgColor indexed="64"/>
          <bgColor auto="1"/>
        </patternFill>
      </fill>
      <alignment textRotation="0" wrapText="1" indent="0" justifyLastLine="0" shrinkToFit="0" readingOrder="0"/>
      <protection locked="1" hidden="0"/>
    </dxf>
    <dxf>
      <fill>
        <patternFill patternType="none">
          <fgColor indexed="64"/>
          <bgColor auto="1"/>
        </patternFill>
      </fill>
      <alignment textRotation="0" wrapText="1" indent="0" justifyLastLine="0" shrinkToFit="0" readingOrder="0"/>
      <protection locked="1" hidden="0"/>
    </dxf>
    <dxf>
      <fill>
        <patternFill patternType="none">
          <fgColor indexed="64"/>
          <bgColor auto="1"/>
        </patternFill>
      </fill>
      <alignment textRotation="0" wrapText="1" indent="0" justifyLastLine="0" shrinkToFit="0" readingOrder="0"/>
      <protection locked="1" hidden="0"/>
    </dxf>
    <dxf>
      <fill>
        <patternFill patternType="none">
          <fgColor indexed="64"/>
          <bgColor auto="1"/>
        </patternFill>
      </fill>
      <alignment textRotation="0" wrapText="1" indent="0" justifyLastLine="0" shrinkToFit="0" readingOrder="0"/>
      <protection locked="1" hidden="0"/>
    </dxf>
    <dxf>
      <fill>
        <patternFill patternType="none">
          <fgColor indexed="64"/>
          <bgColor auto="1"/>
        </patternFill>
      </fill>
      <alignment textRotation="0" wrapText="1" indent="0" justifyLastLine="0" shrinkToFit="0" readingOrder="0"/>
      <protection locked="1" hidden="0"/>
    </dxf>
    <dxf>
      <numFmt numFmtId="35" formatCode="_ * #,##0.00_ ;_ * \-#,##0.00_ ;_ * &quot;-&quot;??_ ;_ @_ "/>
      <fill>
        <patternFill patternType="none">
          <fgColor indexed="64"/>
          <bgColor auto="1"/>
        </patternFill>
      </fill>
      <alignment textRotation="0" wrapText="1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EngraversGothic BT"/>
        <scheme val="none"/>
      </font>
      <numFmt numFmtId="164" formatCode="_ * #,##0_ ;_ * \-#,##0_ ;_ * &quot;-&quot;??_ ;_ @_ "/>
      <fill>
        <patternFill patternType="none">
          <fgColor indexed="64"/>
          <bgColor auto="1"/>
        </patternFill>
      </fill>
      <alignment horizontal="right" vertical="center" textRotation="0" wrapText="1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EngraversGothic BT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EngraversGothic BT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1" indent="0" justifyLastLine="0" shrinkToFit="0" readingOrder="0"/>
      <protection locked="1" hidden="0"/>
    </dxf>
    <dxf>
      <fill>
        <patternFill patternType="none">
          <fgColor indexed="64"/>
          <bgColor auto="1"/>
        </patternFill>
      </fill>
      <alignment textRotation="0" wrapText="1" indent="0" justifyLastLine="0" shrinkToFit="0" readingOrder="0"/>
      <protection locked="1" hidden="0"/>
    </dxf>
    <dxf>
      <fill>
        <patternFill patternType="none">
          <fgColor indexed="64"/>
          <bgColor auto="1"/>
        </patternFill>
      </fill>
      <alignment textRotation="0" wrapText="1" indent="0" justifyLastLine="0" shrinkToFit="0" readingOrder="0"/>
      <protection locked="1" hidden="0"/>
    </dxf>
    <dxf>
      <fill>
        <patternFill patternType="none">
          <fgColor indexed="64"/>
          <bgColor auto="1"/>
        </patternFill>
      </fill>
      <alignment textRotation="0" wrapText="1" indent="0" justifyLastLine="0" shrinkToFit="0" readingOrder="0"/>
      <protection locked="1" hidden="0"/>
    </dxf>
    <dxf>
      <fill>
        <patternFill patternType="none">
          <fgColor indexed="64"/>
          <bgColor auto="1"/>
        </patternFill>
      </fill>
      <alignment textRotation="0" wrapText="1" indent="0" justifyLastLine="0" shrinkToFit="0" readingOrder="0"/>
      <protection locked="1" hidden="0"/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top style="medium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EngraversGothic BT"/>
        <scheme val="none"/>
      </font>
      <fill>
        <patternFill patternType="solid">
          <fgColor indexed="64"/>
          <bgColor theme="7"/>
        </patternFill>
      </fill>
      <alignment horizontal="center" vertical="center" textRotation="0" wrapText="0" indent="0" justifyLastLine="0" shrinkToFit="0" readingOrder="0"/>
    </dxf>
    <dxf>
      <border outline="0">
        <top style="medium">
          <color rgb="FF000000"/>
        </top>
      </border>
    </dxf>
    <dxf>
      <border outline="0">
        <top style="medium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EngraversGothic BT"/>
        <scheme val="none"/>
      </font>
      <fill>
        <patternFill patternType="solid">
          <fgColor indexed="64"/>
          <bgColor theme="7"/>
        </patternFill>
      </fill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hyperlink" Target="#Dashboard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16</xdr:row>
      <xdr:rowOff>57150</xdr:rowOff>
    </xdr:from>
    <xdr:to>
      <xdr:col>2</xdr:col>
      <xdr:colOff>1076325</xdr:colOff>
      <xdr:row>17</xdr:row>
      <xdr:rowOff>180975</xdr:rowOff>
    </xdr:to>
    <xdr:sp macro="[0]!Purchase" textlink="">
      <xdr:nvSpPr>
        <xdr:cNvPr id="2" name="Rounded Rectangle 1"/>
        <xdr:cNvSpPr/>
      </xdr:nvSpPr>
      <xdr:spPr>
        <a:xfrm>
          <a:off x="1209676" y="4267200"/>
          <a:ext cx="2381249" cy="3143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600" b="1">
              <a:latin typeface="EngraversGothic BT" panose="020B0507020203020204" pitchFamily="34" charset="0"/>
            </a:rPr>
            <a:t>Purchase Entry</a:t>
          </a:r>
        </a:p>
      </xdr:txBody>
    </xdr:sp>
    <xdr:clientData/>
  </xdr:twoCellAnchor>
  <xdr:twoCellAnchor>
    <xdr:from>
      <xdr:col>3</xdr:col>
      <xdr:colOff>47625</xdr:colOff>
      <xdr:row>16</xdr:row>
      <xdr:rowOff>47625</xdr:rowOff>
    </xdr:from>
    <xdr:to>
      <xdr:col>3</xdr:col>
      <xdr:colOff>1819275</xdr:colOff>
      <xdr:row>17</xdr:row>
      <xdr:rowOff>171450</xdr:rowOff>
    </xdr:to>
    <xdr:sp macro="[0]!Sales" textlink="">
      <xdr:nvSpPr>
        <xdr:cNvPr id="3" name="Rounded Rectangle 2"/>
        <xdr:cNvSpPr/>
      </xdr:nvSpPr>
      <xdr:spPr>
        <a:xfrm>
          <a:off x="3686175" y="4257675"/>
          <a:ext cx="1771650" cy="3143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600" b="1">
              <a:latin typeface="EngraversGothic BT" panose="020B0507020203020204" pitchFamily="34" charset="0"/>
            </a:rPr>
            <a:t>Sales Entry</a:t>
          </a:r>
        </a:p>
      </xdr:txBody>
    </xdr:sp>
    <xdr:clientData/>
  </xdr:twoCellAnchor>
  <xdr:twoCellAnchor>
    <xdr:from>
      <xdr:col>2</xdr:col>
      <xdr:colOff>561975</xdr:colOff>
      <xdr:row>14</xdr:row>
      <xdr:rowOff>66675</xdr:rowOff>
    </xdr:from>
    <xdr:to>
      <xdr:col>3</xdr:col>
      <xdr:colOff>590550</xdr:colOff>
      <xdr:row>16</xdr:row>
      <xdr:rowOff>9525</xdr:rowOff>
    </xdr:to>
    <xdr:sp macro="[0]!Clear_Form" textlink="">
      <xdr:nvSpPr>
        <xdr:cNvPr id="4" name="Rounded Rectangle 3"/>
        <xdr:cNvSpPr/>
      </xdr:nvSpPr>
      <xdr:spPr>
        <a:xfrm>
          <a:off x="3076575" y="3895725"/>
          <a:ext cx="1152525" cy="3238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400" b="1">
              <a:latin typeface="EngraversGothic BT" panose="020B0507020203020204" pitchFamily="34" charset="0"/>
            </a:rPr>
            <a:t>Clear</a:t>
          </a:r>
          <a:r>
            <a:rPr lang="en-IN" sz="1400" b="1" baseline="0">
              <a:latin typeface="EngraversGothic BT" panose="020B0507020203020204" pitchFamily="34" charset="0"/>
            </a:rPr>
            <a:t> Form</a:t>
          </a:r>
          <a:endParaRPr lang="en-IN" sz="1400" b="1">
            <a:latin typeface="EngraversGothic BT" panose="020B0507020203020204" pitchFamily="34" charset="0"/>
          </a:endParaRPr>
        </a:p>
      </xdr:txBody>
    </xdr:sp>
    <xdr:clientData/>
  </xdr:twoCellAnchor>
  <xdr:twoCellAnchor>
    <xdr:from>
      <xdr:col>5</xdr:col>
      <xdr:colOff>66675</xdr:colOff>
      <xdr:row>9</xdr:row>
      <xdr:rowOff>66675</xdr:rowOff>
    </xdr:from>
    <xdr:to>
      <xdr:col>5</xdr:col>
      <xdr:colOff>561975</xdr:colOff>
      <xdr:row>9</xdr:row>
      <xdr:rowOff>228600</xdr:rowOff>
    </xdr:to>
    <xdr:sp macro="" textlink="">
      <xdr:nvSpPr>
        <xdr:cNvPr id="5" name="Left Arrow 4"/>
        <xdr:cNvSpPr/>
      </xdr:nvSpPr>
      <xdr:spPr>
        <a:xfrm>
          <a:off x="5648325" y="2066925"/>
          <a:ext cx="495300" cy="161925"/>
        </a:xfrm>
        <a:prstGeom prst="leftArrow">
          <a:avLst/>
        </a:prstGeom>
        <a:solidFill>
          <a:srgbClr val="FF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6</xdr:col>
      <xdr:colOff>609601</xdr:colOff>
      <xdr:row>12</xdr:row>
      <xdr:rowOff>9525</xdr:rowOff>
    </xdr:from>
    <xdr:to>
      <xdr:col>7</xdr:col>
      <xdr:colOff>638176</xdr:colOff>
      <xdr:row>13</xdr:row>
      <xdr:rowOff>104775</xdr:rowOff>
    </xdr:to>
    <xdr:sp macro="" textlink="">
      <xdr:nvSpPr>
        <xdr:cNvPr id="6" name="Rounded Rectangle 5">
          <a:hlinkClick xmlns:r="http://schemas.openxmlformats.org/officeDocument/2006/relationships" r:id="rId1"/>
        </xdr:cNvPr>
        <xdr:cNvSpPr/>
      </xdr:nvSpPr>
      <xdr:spPr>
        <a:xfrm>
          <a:off x="6915151" y="2838450"/>
          <a:ext cx="1828800" cy="3619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600" b="1">
              <a:latin typeface="EngraversGothic BT" panose="020B0507020203020204" pitchFamily="34" charset="0"/>
            </a:rPr>
            <a:t>Go To Dashboard</a:t>
          </a:r>
        </a:p>
      </xdr:txBody>
    </xdr:sp>
    <xdr:clientData/>
  </xdr:twoCellAnchor>
  <xdr:twoCellAnchor>
    <xdr:from>
      <xdr:col>6</xdr:col>
      <xdr:colOff>1733549</xdr:colOff>
      <xdr:row>16</xdr:row>
      <xdr:rowOff>76200</xdr:rowOff>
    </xdr:from>
    <xdr:to>
      <xdr:col>7</xdr:col>
      <xdr:colOff>552449</xdr:colOff>
      <xdr:row>17</xdr:row>
      <xdr:rowOff>171450</xdr:rowOff>
    </xdr:to>
    <xdr:sp macro="[0]!New_Item" textlink="">
      <xdr:nvSpPr>
        <xdr:cNvPr id="7" name="Rounded Rectangle 6"/>
        <xdr:cNvSpPr/>
      </xdr:nvSpPr>
      <xdr:spPr>
        <a:xfrm>
          <a:off x="8039099" y="4105275"/>
          <a:ext cx="619125" cy="2857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100">
              <a:latin typeface="EngraversGothic BT" panose="020B0507020203020204" pitchFamily="34" charset="0"/>
            </a:rPr>
            <a:t>Save</a:t>
          </a:r>
        </a:p>
      </xdr:txBody>
    </xdr:sp>
    <xdr:clientData/>
  </xdr:twoCellAnchor>
  <xdr:twoCellAnchor>
    <xdr:from>
      <xdr:col>4</xdr:col>
      <xdr:colOff>95251</xdr:colOff>
      <xdr:row>8</xdr:row>
      <xdr:rowOff>9525</xdr:rowOff>
    </xdr:from>
    <xdr:to>
      <xdr:col>5</xdr:col>
      <xdr:colOff>123825</xdr:colOff>
      <xdr:row>9</xdr:row>
      <xdr:rowOff>28575</xdr:rowOff>
    </xdr:to>
    <xdr:sp macro="[0]!Todays_Date" textlink="">
      <xdr:nvSpPr>
        <xdr:cNvPr id="8" name="Rounded Rectangle 7"/>
        <xdr:cNvSpPr/>
      </xdr:nvSpPr>
      <xdr:spPr>
        <a:xfrm>
          <a:off x="4953001" y="1733550"/>
          <a:ext cx="752474" cy="2952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00"/>
            <a:t>Today's Date</a:t>
          </a:r>
        </a:p>
      </xdr:txBody>
    </xdr:sp>
    <xdr:clientData/>
  </xdr:twoCellAnchor>
  <xdr:twoCellAnchor>
    <xdr:from>
      <xdr:col>4</xdr:col>
      <xdr:colOff>219075</xdr:colOff>
      <xdr:row>10</xdr:row>
      <xdr:rowOff>0</xdr:rowOff>
    </xdr:from>
    <xdr:to>
      <xdr:col>5</xdr:col>
      <xdr:colOff>666750</xdr:colOff>
      <xdr:row>14</xdr:row>
      <xdr:rowOff>28575</xdr:rowOff>
    </xdr:to>
    <xdr:cxnSp macro="">
      <xdr:nvCxnSpPr>
        <xdr:cNvPr id="14" name="Straight Arrow Connector 13"/>
        <xdr:cNvCxnSpPr/>
      </xdr:nvCxnSpPr>
      <xdr:spPr>
        <a:xfrm>
          <a:off x="5076825" y="2276475"/>
          <a:ext cx="1171575" cy="112395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123825</xdr:colOff>
      <xdr:row>1</xdr:row>
      <xdr:rowOff>19050</xdr:rowOff>
    </xdr:from>
    <xdr:to>
      <xdr:col>8</xdr:col>
      <xdr:colOff>314325</xdr:colOff>
      <xdr:row>3</xdr:row>
      <xdr:rowOff>171450</xdr:rowOff>
    </xdr:to>
    <xdr:sp macro="[0]!Refresh" textlink="">
      <xdr:nvSpPr>
        <xdr:cNvPr id="2" name="Rounded Rectangle 1"/>
        <xdr:cNvSpPr/>
      </xdr:nvSpPr>
      <xdr:spPr>
        <a:xfrm>
          <a:off x="8915400" y="219075"/>
          <a:ext cx="2019300" cy="5334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400" b="1">
              <a:latin typeface="EngraversGothic BT" panose="020B0507020203020204" pitchFamily="34" charset="0"/>
            </a:rPr>
            <a:t>Generate Refreshed List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id="1" name="Table1" displayName="Table1" ref="A5:H23" totalsRowShown="0" headerRowDxfId="27" dataDxfId="10" tableBorderDxfId="26">
  <tableColumns count="8">
    <tableColumn id="1" name="Bill No" dataDxfId="18"/>
    <tableColumn id="2" name="Date" dataDxfId="17"/>
    <tableColumn id="3" name="Item" dataDxfId="16"/>
    <tableColumn id="4" name="Quantity" dataDxfId="15"/>
    <tableColumn id="7" name="Grand Total" dataDxfId="14"/>
    <tableColumn id="8" name="GST rate in %" dataDxfId="13"/>
    <tableColumn id="6" name="GST (Inclusive)" dataDxfId="12"/>
    <tableColumn id="5" name="Landing Cost (Per Piece)" dataDxfId="11"/>
  </tableColumns>
  <tableStyleInfo name="TableStyleMedium2" showFirstColumn="0" showLastColumn="0" showRowStripes="0" showColumnStripes="0"/>
</table>
</file>

<file path=xl/tables/table2.xml><?xml version="1.0" encoding="utf-8"?>
<table xmlns="http://schemas.openxmlformats.org/spreadsheetml/2006/main" id="6" name="Table17" displayName="Table17" ref="A5:H21" totalsRowShown="0" headerRowDxfId="1" dataDxfId="0" tableBorderDxfId="25">
  <autoFilter ref="A5:H21"/>
  <tableColumns count="8">
    <tableColumn id="1" name="Bill No" dataDxfId="9"/>
    <tableColumn id="2" name="Date" dataDxfId="8"/>
    <tableColumn id="3" name="Item" dataDxfId="7"/>
    <tableColumn id="4" name="Quantity" dataDxfId="6"/>
    <tableColumn id="7" name="Grand Total" dataDxfId="5"/>
    <tableColumn id="8" name="GST rate in %" dataDxfId="4"/>
    <tableColumn id="6" name="GST (Inclusive)" dataDxfId="3"/>
    <tableColumn id="5" name="Landing Cost (Per Piece)" dataDxfId="2"/>
  </tableColumns>
  <tableStyleInfo name="TableStyleMedium2" showFirstColumn="0" showLastColumn="0" showRowStripes="0" showColumnStripes="0"/>
</table>
</file>

<file path=xl/tables/table3.xml><?xml version="1.0" encoding="utf-8"?>
<table xmlns="http://schemas.openxmlformats.org/spreadsheetml/2006/main" id="3" name="Table3" displayName="Table3" ref="B5:E10" totalsRowShown="0" headerRowDxfId="24" tableBorderDxfId="23">
  <tableColumns count="4">
    <tableColumn id="1" name="Item" dataDxfId="22"/>
    <tableColumn id="2" name="Purchase Quantity" dataDxfId="21">
      <calculatedColumnFormula>SUMIF(Table1[Item],Table3[[#This Row],[Item]],Table1[Quantity])</calculatedColumnFormula>
    </tableColumn>
    <tableColumn id="3" name="Sales Quantity" dataDxfId="20">
      <calculatedColumnFormula>SUMIF(Table17[Item],B6,Table17[Quantity])</calculatedColumnFormula>
    </tableColumn>
    <tableColumn id="4" name="Balance Stock" dataDxfId="19">
      <calculatedColumnFormula>Table3[[#This Row],[Purchase Quantity]]-Table3[[#This Row],[Sales Quantity]]</calculatedColumnFormula>
    </tableColumn>
  </tableColumns>
  <tableStyleInfo name="TableStyleMedium2" showFirstColumn="0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L16"/>
  <sheetViews>
    <sheetView showGridLines="0" tabSelected="1" workbookViewId="0">
      <selection activeCell="D9" sqref="D9"/>
    </sheetView>
  </sheetViews>
  <sheetFormatPr defaultRowHeight="15" x14ac:dyDescent="0.25"/>
  <cols>
    <col min="1" max="1" width="9.140625" style="23"/>
    <col min="2" max="2" width="19.42578125" style="23" customWidth="1"/>
    <col min="3" max="3" width="16.85546875" style="23" customWidth="1"/>
    <col min="4" max="4" width="27.42578125" style="23" customWidth="1"/>
    <col min="5" max="5" width="10.85546875" style="23" bestFit="1" customWidth="1"/>
    <col min="6" max="6" width="10.85546875" style="23" customWidth="1"/>
    <col min="7" max="7" width="27" style="23" bestFit="1" customWidth="1"/>
    <col min="8" max="8" width="16.7109375" style="23" bestFit="1" customWidth="1"/>
    <col min="9" max="9" width="21" style="23" customWidth="1"/>
    <col min="10" max="10" width="9.140625" style="23"/>
    <col min="11" max="11" width="10.42578125" style="23" bestFit="1" customWidth="1"/>
    <col min="12" max="16384" width="9.140625" style="23"/>
  </cols>
  <sheetData>
    <row r="1" spans="2:12" ht="15.75" thickBot="1" x14ac:dyDescent="0.3"/>
    <row r="2" spans="2:12" x14ac:dyDescent="0.25">
      <c r="B2" s="44" t="s">
        <v>0</v>
      </c>
      <c r="C2" s="45"/>
      <c r="D2" s="45"/>
      <c r="E2" s="45"/>
      <c r="F2" s="45"/>
      <c r="G2" s="45"/>
      <c r="H2" s="45"/>
      <c r="I2" s="45"/>
      <c r="J2" s="45"/>
      <c r="K2" s="45"/>
      <c r="L2" s="46"/>
    </row>
    <row r="3" spans="2:12" x14ac:dyDescent="0.25">
      <c r="B3" s="47"/>
      <c r="C3" s="48"/>
      <c r="D3" s="48"/>
      <c r="E3" s="48"/>
      <c r="F3" s="48"/>
      <c r="G3" s="48"/>
      <c r="H3" s="48"/>
      <c r="I3" s="48"/>
      <c r="J3" s="48"/>
      <c r="K3" s="48"/>
      <c r="L3" s="49"/>
    </row>
    <row r="4" spans="2:12" ht="15.75" thickBot="1" x14ac:dyDescent="0.3">
      <c r="B4" s="50"/>
      <c r="C4" s="51"/>
      <c r="D4" s="51"/>
      <c r="E4" s="51"/>
      <c r="F4" s="51"/>
      <c r="G4" s="51"/>
      <c r="H4" s="51"/>
      <c r="I4" s="51"/>
      <c r="J4" s="51"/>
      <c r="K4" s="51"/>
      <c r="L4" s="52"/>
    </row>
    <row r="5" spans="2:12" ht="15.75" thickBot="1" x14ac:dyDescent="0.3"/>
    <row r="6" spans="2:12" ht="21" thickBot="1" x14ac:dyDescent="0.3">
      <c r="B6" s="53" t="s">
        <v>18</v>
      </c>
      <c r="C6" s="54"/>
      <c r="D6" s="55"/>
      <c r="G6" s="53" t="s">
        <v>24</v>
      </c>
      <c r="H6" s="54"/>
      <c r="I6" s="55"/>
    </row>
    <row r="7" spans="2:12" ht="15.75" thickBot="1" x14ac:dyDescent="0.3"/>
    <row r="8" spans="2:12" ht="21.75" thickBot="1" x14ac:dyDescent="0.3">
      <c r="B8" s="61" t="s">
        <v>16</v>
      </c>
      <c r="C8" s="62"/>
      <c r="D8" s="38">
        <f>H9+1</f>
        <v>8</v>
      </c>
      <c r="E8" s="25"/>
      <c r="F8" s="25"/>
      <c r="G8" s="56" t="s">
        <v>1</v>
      </c>
      <c r="H8" s="57" t="s">
        <v>29</v>
      </c>
    </row>
    <row r="9" spans="2:12" ht="21.75" thickBot="1" x14ac:dyDescent="0.35">
      <c r="B9" s="61" t="s">
        <v>15</v>
      </c>
      <c r="C9" s="62"/>
      <c r="D9" s="26"/>
      <c r="E9" s="27"/>
      <c r="F9" s="27"/>
      <c r="G9" s="58" t="s">
        <v>2</v>
      </c>
      <c r="H9" s="39">
        <f>IF(H8="Purchase ",MAX(Table1[Bill No]),MAX(Table17[Bill No]))</f>
        <v>7</v>
      </c>
    </row>
    <row r="10" spans="2:12" ht="21.75" thickBot="1" x14ac:dyDescent="0.3">
      <c r="B10" s="61" t="s">
        <v>5</v>
      </c>
      <c r="C10" s="62"/>
      <c r="D10" s="28"/>
      <c r="F10" s="25"/>
      <c r="G10" s="59" t="s">
        <v>26</v>
      </c>
      <c r="H10" s="39" t="e">
        <f>VLOOKUP(D10,Stocks!B6:E1048576,4,FALSE)</f>
        <v>#N/A</v>
      </c>
    </row>
    <row r="11" spans="2:12" ht="21.75" thickBot="1" x14ac:dyDescent="0.3">
      <c r="B11" s="61" t="s">
        <v>14</v>
      </c>
      <c r="C11" s="62"/>
      <c r="D11" s="24"/>
      <c r="E11" s="25"/>
      <c r="F11" s="25"/>
      <c r="G11" s="60" t="s">
        <v>25</v>
      </c>
      <c r="H11" s="39" t="e">
        <f>(LOOKUP(D10,Table1[Item],Table1[Grand Total]))/H10</f>
        <v>#N/A</v>
      </c>
    </row>
    <row r="12" spans="2:12" ht="21.75" thickBot="1" x14ac:dyDescent="0.3">
      <c r="B12" s="63" t="s">
        <v>11</v>
      </c>
      <c r="C12" s="64"/>
      <c r="D12" s="29"/>
      <c r="E12" s="30"/>
      <c r="F12" s="30"/>
      <c r="G12" s="30"/>
      <c r="K12" s="31"/>
    </row>
    <row r="13" spans="2:12" ht="21" thickBot="1" x14ac:dyDescent="0.35">
      <c r="B13" s="65" t="s">
        <v>9</v>
      </c>
      <c r="C13" s="66">
        <v>18</v>
      </c>
      <c r="D13" s="40">
        <f>D12-(D12/((C13/100)+1))</f>
        <v>0</v>
      </c>
      <c r="E13" s="32" t="s">
        <v>30</v>
      </c>
      <c r="F13" s="33"/>
    </row>
    <row r="14" spans="2:12" ht="21.75" thickBot="1" x14ac:dyDescent="0.3">
      <c r="B14" s="63" t="s">
        <v>10</v>
      </c>
      <c r="C14" s="64"/>
      <c r="D14" s="41" t="e">
        <f>(D12-D13)/D11</f>
        <v>#DIV/0!</v>
      </c>
    </row>
    <row r="15" spans="2:12" ht="15.75" thickBot="1" x14ac:dyDescent="0.3"/>
    <row r="16" spans="2:12" ht="21" x14ac:dyDescent="0.25">
      <c r="G16" s="34" t="s">
        <v>28</v>
      </c>
      <c r="H16" s="35"/>
      <c r="I16" s="36"/>
      <c r="J16" s="37"/>
    </row>
  </sheetData>
  <sheetProtection algorithmName="SHA-512" hashValue="AVlorY6vBDPWMi2Ubg/cpvXfd2wzTbK4hgn/SiSlZtbkeJTJQFa/9p98neeNj6t7L1M41LZvhVhob5KnLSbbCw==" saltValue="x2RZQ7JD7IVHwhvRfvzBaA==" spinCount="100000" sheet="1" objects="1" scenarios="1" selectLockedCells="1"/>
  <mergeCells count="9">
    <mergeCell ref="B2:L4"/>
    <mergeCell ref="B8:C8"/>
    <mergeCell ref="B14:C14"/>
    <mergeCell ref="B6:D6"/>
    <mergeCell ref="G6:I6"/>
    <mergeCell ref="B9:C9"/>
    <mergeCell ref="B10:C10"/>
    <mergeCell ref="B11:C11"/>
    <mergeCell ref="B12:C12"/>
  </mergeCells>
  <dataValidations count="1">
    <dataValidation type="list" allowBlank="1" showInputMessage="1" showErrorMessage="1" sqref="H8">
      <formula1>"Purchase , Sales"</formula1>
    </dataValidation>
  </dataValidation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'New Entry List'!$A:$A</xm:f>
          </x14:formula1>
          <xm:sqref>D10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P23"/>
  <sheetViews>
    <sheetView topLeftCell="A2" workbookViewId="0">
      <selection activeCell="E13" sqref="E13"/>
    </sheetView>
  </sheetViews>
  <sheetFormatPr defaultRowHeight="15" x14ac:dyDescent="0.25"/>
  <cols>
    <col min="1" max="1" width="15" customWidth="1"/>
    <col min="2" max="2" width="16.5703125" bestFit="1" customWidth="1"/>
    <col min="3" max="3" width="46.85546875" customWidth="1"/>
    <col min="4" max="4" width="16.28515625" customWidth="1"/>
    <col min="5" max="5" width="23.7109375" bestFit="1" customWidth="1"/>
    <col min="6" max="6" width="15.7109375" style="5" customWidth="1"/>
    <col min="7" max="7" width="21.5703125" bestFit="1" customWidth="1"/>
    <col min="8" max="8" width="25.28515625" bestFit="1" customWidth="1"/>
    <col min="9" max="9" width="9.28515625" bestFit="1" customWidth="1"/>
  </cols>
  <sheetData>
    <row r="1" spans="1:16" ht="15.75" thickBot="1" x14ac:dyDescent="0.3"/>
    <row r="2" spans="1:16" x14ac:dyDescent="0.25">
      <c r="A2" s="14" t="s">
        <v>3</v>
      </c>
      <c r="B2" s="15"/>
      <c r="C2" s="15"/>
      <c r="D2" s="15"/>
      <c r="E2" s="15"/>
      <c r="F2" s="15"/>
      <c r="G2" s="15"/>
      <c r="H2" s="16"/>
    </row>
    <row r="3" spans="1:16" ht="15" customHeight="1" x14ac:dyDescent="0.25">
      <c r="A3" s="17"/>
      <c r="B3" s="18"/>
      <c r="C3" s="18"/>
      <c r="D3" s="18"/>
      <c r="E3" s="18"/>
      <c r="F3" s="18"/>
      <c r="G3" s="18"/>
      <c r="H3" s="19"/>
      <c r="I3" s="1"/>
      <c r="J3" s="1"/>
      <c r="K3" s="1"/>
      <c r="L3" s="1"/>
      <c r="M3" s="1"/>
      <c r="N3" s="1"/>
      <c r="O3" s="1"/>
      <c r="P3" s="1"/>
    </row>
    <row r="4" spans="1:16" ht="15" customHeight="1" thickBot="1" x14ac:dyDescent="0.3">
      <c r="A4" s="20"/>
      <c r="B4" s="21"/>
      <c r="C4" s="21"/>
      <c r="D4" s="21"/>
      <c r="E4" s="21"/>
      <c r="F4" s="21"/>
      <c r="G4" s="21"/>
      <c r="H4" s="22"/>
      <c r="I4" s="1"/>
      <c r="J4" s="1"/>
      <c r="K4" s="1"/>
      <c r="L4" s="1"/>
      <c r="M4" s="1"/>
      <c r="N4" s="1"/>
      <c r="O4" s="1"/>
      <c r="P4" s="1"/>
    </row>
    <row r="5" spans="1:16" ht="40.5" x14ac:dyDescent="0.25">
      <c r="A5" s="2" t="s">
        <v>16</v>
      </c>
      <c r="B5" s="2" t="s">
        <v>15</v>
      </c>
      <c r="C5" s="2" t="s">
        <v>5</v>
      </c>
      <c r="D5" s="2" t="s">
        <v>14</v>
      </c>
      <c r="E5" s="2" t="s">
        <v>11</v>
      </c>
      <c r="F5" s="3" t="s">
        <v>17</v>
      </c>
      <c r="G5" s="3" t="s">
        <v>13</v>
      </c>
      <c r="H5" s="3" t="s">
        <v>12</v>
      </c>
      <c r="I5" s="1"/>
      <c r="J5" s="1"/>
      <c r="K5" s="1"/>
      <c r="L5" s="1"/>
      <c r="M5" s="1"/>
      <c r="N5" s="1"/>
      <c r="O5" s="1"/>
      <c r="P5" s="1"/>
    </row>
    <row r="6" spans="1:16" ht="21" thickBot="1" x14ac:dyDescent="0.3">
      <c r="A6" s="67"/>
      <c r="B6" s="67"/>
      <c r="C6" s="67"/>
      <c r="D6" s="67"/>
      <c r="E6" s="68"/>
      <c r="F6" s="69"/>
      <c r="G6" s="70"/>
      <c r="H6" s="71"/>
    </row>
    <row r="7" spans="1:16" ht="16.5" thickBot="1" x14ac:dyDescent="0.3">
      <c r="A7" s="72">
        <v>7</v>
      </c>
      <c r="B7" s="73">
        <f ca="1">TODAY()</f>
        <v>44280</v>
      </c>
      <c r="C7" s="74" t="s">
        <v>27</v>
      </c>
      <c r="D7" s="72">
        <v>4</v>
      </c>
      <c r="E7" s="75">
        <v>100000</v>
      </c>
      <c r="F7" s="76">
        <v>18</v>
      </c>
      <c r="G7" s="77">
        <v>15254.237288135584</v>
      </c>
      <c r="H7" s="78">
        <v>21186.440677966104</v>
      </c>
    </row>
    <row r="8" spans="1:16" ht="16.5" thickBot="1" x14ac:dyDescent="0.3">
      <c r="A8" s="72">
        <v>6</v>
      </c>
      <c r="B8" s="73">
        <v>44280</v>
      </c>
      <c r="C8" s="74" t="s">
        <v>20</v>
      </c>
      <c r="D8" s="72">
        <v>10</v>
      </c>
      <c r="E8" s="75">
        <v>1500000</v>
      </c>
      <c r="F8" s="76">
        <v>18</v>
      </c>
      <c r="G8" s="77">
        <v>228813.55932203378</v>
      </c>
      <c r="H8" s="78">
        <v>127118.64406779662</v>
      </c>
    </row>
    <row r="9" spans="1:16" ht="16.5" thickBot="1" x14ac:dyDescent="0.3">
      <c r="A9" s="72">
        <v>5</v>
      </c>
      <c r="B9" s="73">
        <v>44280</v>
      </c>
      <c r="C9" s="74" t="s">
        <v>19</v>
      </c>
      <c r="D9" s="72">
        <v>2</v>
      </c>
      <c r="E9" s="75">
        <v>500000</v>
      </c>
      <c r="F9" s="76">
        <v>18</v>
      </c>
      <c r="G9" s="77">
        <v>76271.186440677964</v>
      </c>
      <c r="H9" s="78">
        <v>211864.40677966102</v>
      </c>
    </row>
    <row r="10" spans="1:16" ht="16.5" thickBot="1" x14ac:dyDescent="0.3">
      <c r="A10" s="72">
        <v>4</v>
      </c>
      <c r="B10" s="73">
        <v>44277</v>
      </c>
      <c r="C10" s="73" t="s">
        <v>23</v>
      </c>
      <c r="D10" s="72">
        <v>25</v>
      </c>
      <c r="E10" s="75">
        <v>1000000</v>
      </c>
      <c r="F10" s="76">
        <v>18</v>
      </c>
      <c r="G10" s="77">
        <v>152542.37288135593</v>
      </c>
      <c r="H10" s="78">
        <v>33898.305084745763</v>
      </c>
    </row>
    <row r="11" spans="1:16" ht="16.5" thickBot="1" x14ac:dyDescent="0.3">
      <c r="A11" s="72">
        <v>3</v>
      </c>
      <c r="B11" s="73">
        <v>44278</v>
      </c>
      <c r="C11" s="73" t="s">
        <v>21</v>
      </c>
      <c r="D11" s="72">
        <v>10</v>
      </c>
      <c r="E11" s="75">
        <v>1500000</v>
      </c>
      <c r="F11" s="76">
        <v>18</v>
      </c>
      <c r="G11" s="77">
        <v>228813.55932203378</v>
      </c>
      <c r="H11" s="78">
        <v>127118.64406779662</v>
      </c>
    </row>
    <row r="12" spans="1:16" ht="16.5" thickBot="1" x14ac:dyDescent="0.3">
      <c r="A12" s="72">
        <v>2</v>
      </c>
      <c r="B12" s="73">
        <v>44279</v>
      </c>
      <c r="C12" s="72" t="s">
        <v>20</v>
      </c>
      <c r="D12" s="72">
        <v>5</v>
      </c>
      <c r="E12" s="75">
        <v>600000</v>
      </c>
      <c r="F12" s="79">
        <v>18</v>
      </c>
      <c r="G12" s="77">
        <v>91525.423728813534</v>
      </c>
      <c r="H12" s="78">
        <v>101694.91525423729</v>
      </c>
    </row>
    <row r="13" spans="1:16" ht="16.5" thickBot="1" x14ac:dyDescent="0.3">
      <c r="A13" s="72">
        <v>1</v>
      </c>
      <c r="B13" s="73">
        <v>44279</v>
      </c>
      <c r="C13" s="72" t="s">
        <v>19</v>
      </c>
      <c r="D13" s="72">
        <v>5</v>
      </c>
      <c r="E13" s="75">
        <v>1000000</v>
      </c>
      <c r="F13" s="79">
        <v>18</v>
      </c>
      <c r="G13" s="77">
        <v>152542.37288135593</v>
      </c>
      <c r="H13" s="78">
        <v>169491.5254237288</v>
      </c>
    </row>
    <row r="14" spans="1:16" ht="15.75" x14ac:dyDescent="0.25">
      <c r="A14" s="69"/>
      <c r="B14" s="80"/>
      <c r="C14" s="69"/>
      <c r="D14" s="69"/>
      <c r="E14" s="81"/>
      <c r="F14" s="69"/>
      <c r="G14" s="70"/>
      <c r="H14" s="82"/>
    </row>
    <row r="15" spans="1:16" ht="15.75" x14ac:dyDescent="0.25">
      <c r="A15" s="69"/>
      <c r="B15" s="80"/>
      <c r="C15" s="69"/>
      <c r="D15" s="69"/>
      <c r="E15" s="81"/>
      <c r="F15" s="81"/>
      <c r="G15" s="81"/>
      <c r="H15" s="83"/>
    </row>
    <row r="16" spans="1:16" ht="15.75" x14ac:dyDescent="0.25">
      <c r="A16" s="84"/>
      <c r="B16" s="85"/>
      <c r="C16" s="84"/>
      <c r="D16" s="84"/>
      <c r="E16" s="84"/>
      <c r="F16" s="69"/>
      <c r="G16" s="70"/>
      <c r="H16" s="86"/>
    </row>
    <row r="17" spans="1:8" ht="15.75" x14ac:dyDescent="0.25">
      <c r="A17" s="84"/>
      <c r="B17" s="85"/>
      <c r="C17" s="84"/>
      <c r="D17" s="84"/>
      <c r="E17" s="84"/>
      <c r="F17" s="69"/>
      <c r="G17" s="70"/>
      <c r="H17" s="86"/>
    </row>
    <row r="18" spans="1:8" ht="15.75" x14ac:dyDescent="0.25">
      <c r="A18" s="84"/>
      <c r="B18" s="85"/>
      <c r="C18" s="84"/>
      <c r="D18" s="84"/>
      <c r="E18" s="84"/>
      <c r="F18" s="69"/>
      <c r="G18" s="70"/>
      <c r="H18" s="86"/>
    </row>
    <row r="19" spans="1:8" ht="15.75" x14ac:dyDescent="0.25">
      <c r="A19" s="84"/>
      <c r="B19" s="85"/>
      <c r="C19" s="84"/>
      <c r="D19" s="84"/>
      <c r="E19" s="84"/>
      <c r="F19" s="69"/>
      <c r="G19" s="70"/>
      <c r="H19" s="86"/>
    </row>
    <row r="20" spans="1:8" ht="15.75" x14ac:dyDescent="0.25">
      <c r="A20" s="84"/>
      <c r="B20" s="85"/>
      <c r="C20" s="84"/>
      <c r="D20" s="84"/>
      <c r="E20" s="84"/>
      <c r="F20" s="69"/>
      <c r="G20" s="70"/>
      <c r="H20" s="86"/>
    </row>
    <row r="21" spans="1:8" ht="15.75" x14ac:dyDescent="0.25">
      <c r="A21" s="84"/>
      <c r="B21" s="85"/>
      <c r="C21" s="84"/>
      <c r="D21" s="84"/>
      <c r="E21" s="84"/>
      <c r="F21" s="69"/>
      <c r="G21" s="70"/>
      <c r="H21" s="86"/>
    </row>
    <row r="22" spans="1:8" x14ac:dyDescent="0.25">
      <c r="A22" s="87"/>
      <c r="B22" s="87"/>
      <c r="C22" s="87"/>
      <c r="D22" s="87"/>
      <c r="E22" s="87"/>
      <c r="F22" s="88"/>
      <c r="G22" s="89"/>
      <c r="H22" s="90"/>
    </row>
    <row r="23" spans="1:8" x14ac:dyDescent="0.25">
      <c r="A23" s="87"/>
      <c r="B23" s="87"/>
      <c r="C23" s="87"/>
      <c r="D23" s="87"/>
      <c r="E23" s="87"/>
      <c r="F23" s="88"/>
      <c r="G23" s="89"/>
      <c r="H23" s="90"/>
    </row>
  </sheetData>
  <sheetProtection algorithmName="SHA-512" hashValue="08NlTGSVb6en92/1t25pQPFRAQ3a1vERPS2ewJxAlDP3pnElmIh8Z0e0G/j3N+kIhp6Q7PfC2P2BhqFGPDe8Tg==" saltValue="PgItZi7/irc3dlCyXL2i4Q==" spinCount="100000" sheet="1" objects="1" scenarios="1"/>
  <mergeCells count="1">
    <mergeCell ref="A2:H4"/>
  </mergeCells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Stocks!$B$6:$B$10</xm:f>
          </x14:formula1>
          <xm:sqref>C8</xm:sqref>
        </x14:dataValidation>
        <x14:dataValidation type="list" allowBlank="1" showInputMessage="1" showErrorMessage="1">
          <x14:formula1>
            <xm:f>'New Entry List'!$A:$A</xm:f>
          </x14:formula1>
          <xm:sqref>C7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P21"/>
  <sheetViews>
    <sheetView workbookViewId="0">
      <selection activeCell="E17" sqref="A1:XFD1048576"/>
    </sheetView>
  </sheetViews>
  <sheetFormatPr defaultRowHeight="15" x14ac:dyDescent="0.25"/>
  <cols>
    <col min="1" max="1" width="15" style="91" customWidth="1"/>
    <col min="2" max="2" width="16.5703125" style="91" bestFit="1" customWidth="1"/>
    <col min="3" max="3" width="46.85546875" style="91" customWidth="1"/>
    <col min="4" max="4" width="16.28515625" style="91" customWidth="1"/>
    <col min="5" max="5" width="23.7109375" style="91" bestFit="1" customWidth="1"/>
    <col min="6" max="6" width="15.7109375" style="92" customWidth="1"/>
    <col min="7" max="7" width="21.5703125" style="91" bestFit="1" customWidth="1"/>
    <col min="8" max="8" width="25.28515625" style="91" bestFit="1" customWidth="1"/>
    <col min="9" max="9" width="9.28515625" style="91" bestFit="1" customWidth="1"/>
    <col min="10" max="16384" width="9.140625" style="91"/>
  </cols>
  <sheetData>
    <row r="1" spans="1:16" ht="15.75" thickBot="1" x14ac:dyDescent="0.3"/>
    <row r="2" spans="1:16" x14ac:dyDescent="0.25">
      <c r="A2" s="93" t="s">
        <v>4</v>
      </c>
      <c r="B2" s="94"/>
      <c r="C2" s="94"/>
      <c r="D2" s="94"/>
      <c r="E2" s="94"/>
      <c r="F2" s="94"/>
      <c r="G2" s="94"/>
      <c r="H2" s="95"/>
    </row>
    <row r="3" spans="1:16" ht="15" customHeight="1" x14ac:dyDescent="0.25">
      <c r="A3" s="96"/>
      <c r="B3" s="97"/>
      <c r="C3" s="97"/>
      <c r="D3" s="97"/>
      <c r="E3" s="97"/>
      <c r="F3" s="97"/>
      <c r="G3" s="97"/>
      <c r="H3" s="98"/>
      <c r="I3" s="99"/>
      <c r="J3" s="99"/>
      <c r="K3" s="99"/>
      <c r="L3" s="99"/>
      <c r="M3" s="99"/>
      <c r="N3" s="99"/>
      <c r="O3" s="99"/>
      <c r="P3" s="99"/>
    </row>
    <row r="4" spans="1:16" ht="15" customHeight="1" thickBot="1" x14ac:dyDescent="0.3">
      <c r="A4" s="100"/>
      <c r="B4" s="101"/>
      <c r="C4" s="101"/>
      <c r="D4" s="101"/>
      <c r="E4" s="101"/>
      <c r="F4" s="101"/>
      <c r="G4" s="101"/>
      <c r="H4" s="102"/>
      <c r="I4" s="99"/>
      <c r="J4" s="99"/>
      <c r="K4" s="99"/>
      <c r="L4" s="99"/>
      <c r="M4" s="99"/>
      <c r="N4" s="99"/>
      <c r="O4" s="99"/>
      <c r="P4" s="99"/>
    </row>
    <row r="5" spans="1:16" ht="40.5" x14ac:dyDescent="0.25">
      <c r="A5" s="103" t="s">
        <v>16</v>
      </c>
      <c r="B5" s="103" t="s">
        <v>15</v>
      </c>
      <c r="C5" s="103" t="s">
        <v>5</v>
      </c>
      <c r="D5" s="103" t="s">
        <v>14</v>
      </c>
      <c r="E5" s="103" t="s">
        <v>11</v>
      </c>
      <c r="F5" s="104" t="s">
        <v>17</v>
      </c>
      <c r="G5" s="104" t="s">
        <v>13</v>
      </c>
      <c r="H5" s="104" t="s">
        <v>12</v>
      </c>
      <c r="I5" s="99"/>
      <c r="J5" s="99"/>
      <c r="K5" s="99"/>
      <c r="L5" s="99"/>
      <c r="M5" s="99"/>
      <c r="N5" s="99"/>
      <c r="O5" s="99"/>
      <c r="P5" s="99"/>
    </row>
    <row r="6" spans="1:16" ht="20.25" x14ac:dyDescent="0.25">
      <c r="A6" s="105"/>
      <c r="B6" s="105"/>
      <c r="C6" s="105"/>
      <c r="D6" s="105"/>
      <c r="E6" s="84"/>
      <c r="F6" s="69"/>
      <c r="G6" s="70"/>
      <c r="H6" s="71"/>
    </row>
    <row r="7" spans="1:16" ht="15.75" x14ac:dyDescent="0.25">
      <c r="A7" s="106">
        <v>3</v>
      </c>
      <c r="B7" s="107">
        <v>44281</v>
      </c>
      <c r="C7" s="108" t="s">
        <v>20</v>
      </c>
      <c r="D7" s="106">
        <v>4</v>
      </c>
      <c r="E7" s="109">
        <v>1200000</v>
      </c>
      <c r="F7" s="106">
        <v>18</v>
      </c>
      <c r="G7" s="77">
        <v>183050.84745762707</v>
      </c>
      <c r="H7" s="78">
        <v>254237.28813559323</v>
      </c>
    </row>
    <row r="8" spans="1:16" ht="15.75" x14ac:dyDescent="0.25">
      <c r="A8" s="106">
        <v>2</v>
      </c>
      <c r="B8" s="107">
        <v>44279</v>
      </c>
      <c r="C8" s="107" t="s">
        <v>20</v>
      </c>
      <c r="D8" s="106">
        <v>1</v>
      </c>
      <c r="E8" s="109">
        <v>90000</v>
      </c>
      <c r="F8" s="106">
        <v>18</v>
      </c>
      <c r="G8" s="77">
        <v>13728.813559322036</v>
      </c>
      <c r="H8" s="78">
        <v>76271.186440677964</v>
      </c>
    </row>
    <row r="9" spans="1:16" ht="15.75" x14ac:dyDescent="0.25">
      <c r="A9" s="106">
        <v>1</v>
      </c>
      <c r="B9" s="107">
        <v>44279</v>
      </c>
      <c r="C9" s="74" t="s">
        <v>19</v>
      </c>
      <c r="D9" s="106">
        <v>1</v>
      </c>
      <c r="E9" s="109">
        <v>225000</v>
      </c>
      <c r="F9" s="106">
        <v>18</v>
      </c>
      <c r="G9" s="77">
        <v>34322.033898305061</v>
      </c>
      <c r="H9" s="78">
        <v>190677.96610169494</v>
      </c>
    </row>
    <row r="10" spans="1:16" ht="15.75" x14ac:dyDescent="0.25">
      <c r="A10" s="106"/>
      <c r="B10" s="107"/>
      <c r="C10" s="106"/>
      <c r="D10" s="106"/>
      <c r="E10" s="109"/>
      <c r="F10" s="110"/>
      <c r="G10" s="77"/>
      <c r="H10" s="78"/>
    </row>
    <row r="11" spans="1:16" ht="15.75" x14ac:dyDescent="0.25">
      <c r="A11" s="106"/>
      <c r="B11" s="107"/>
      <c r="C11" s="106"/>
      <c r="D11" s="106"/>
      <c r="E11" s="109"/>
      <c r="F11" s="110"/>
      <c r="G11" s="77"/>
      <c r="H11" s="78"/>
    </row>
    <row r="12" spans="1:16" ht="15.75" x14ac:dyDescent="0.25">
      <c r="A12" s="69"/>
      <c r="B12" s="80"/>
      <c r="C12" s="69"/>
      <c r="D12" s="69"/>
      <c r="E12" s="81"/>
      <c r="F12" s="69"/>
      <c r="G12" s="70"/>
      <c r="H12" s="82"/>
    </row>
    <row r="13" spans="1:16" ht="15.75" x14ac:dyDescent="0.25">
      <c r="A13" s="69"/>
      <c r="B13" s="80"/>
      <c r="C13" s="69"/>
      <c r="D13" s="69"/>
      <c r="E13" s="81"/>
      <c r="F13" s="81"/>
      <c r="G13" s="81"/>
      <c r="H13" s="83"/>
    </row>
    <row r="14" spans="1:16" ht="15.75" x14ac:dyDescent="0.25">
      <c r="A14" s="84"/>
      <c r="B14" s="85"/>
      <c r="C14" s="84"/>
      <c r="D14" s="84"/>
      <c r="E14" s="84"/>
      <c r="F14" s="69"/>
      <c r="G14" s="70"/>
      <c r="H14" s="86"/>
    </row>
    <row r="15" spans="1:16" ht="15.75" x14ac:dyDescent="0.25">
      <c r="A15" s="84"/>
      <c r="B15" s="85"/>
      <c r="C15" s="84"/>
      <c r="D15" s="84"/>
      <c r="E15" s="84"/>
      <c r="F15" s="69"/>
      <c r="G15" s="70"/>
      <c r="H15" s="86"/>
    </row>
    <row r="16" spans="1:16" ht="15.75" x14ac:dyDescent="0.25">
      <c r="A16" s="84"/>
      <c r="B16" s="85"/>
      <c r="C16" s="84"/>
      <c r="D16" s="84"/>
      <c r="E16" s="84"/>
      <c r="F16" s="69"/>
      <c r="G16" s="70"/>
      <c r="H16" s="86"/>
    </row>
    <row r="17" spans="1:8" ht="15.75" x14ac:dyDescent="0.25">
      <c r="A17" s="84"/>
      <c r="B17" s="85"/>
      <c r="C17" s="84"/>
      <c r="D17" s="84"/>
      <c r="E17" s="84"/>
      <c r="F17" s="69"/>
      <c r="G17" s="70"/>
      <c r="H17" s="86"/>
    </row>
    <row r="18" spans="1:8" ht="15.75" x14ac:dyDescent="0.25">
      <c r="A18" s="84"/>
      <c r="B18" s="85"/>
      <c r="C18" s="84"/>
      <c r="D18" s="84"/>
      <c r="E18" s="84"/>
      <c r="F18" s="69"/>
      <c r="G18" s="70"/>
      <c r="H18" s="86"/>
    </row>
    <row r="19" spans="1:8" ht="15.75" x14ac:dyDescent="0.25">
      <c r="A19" s="84"/>
      <c r="B19" s="85"/>
      <c r="C19" s="84"/>
      <c r="D19" s="84"/>
      <c r="E19" s="84"/>
      <c r="F19" s="69"/>
      <c r="G19" s="70"/>
      <c r="H19" s="86"/>
    </row>
    <row r="20" spans="1:8" x14ac:dyDescent="0.25">
      <c r="A20" s="87"/>
      <c r="B20" s="87"/>
      <c r="C20" s="87"/>
      <c r="D20" s="87"/>
      <c r="E20" s="87"/>
      <c r="F20" s="88"/>
      <c r="G20" s="89"/>
      <c r="H20" s="90"/>
    </row>
    <row r="21" spans="1:8" x14ac:dyDescent="0.25">
      <c r="A21" s="87"/>
      <c r="B21" s="87"/>
      <c r="C21" s="87"/>
      <c r="D21" s="87"/>
      <c r="E21" s="87"/>
      <c r="F21" s="88"/>
      <c r="G21" s="89"/>
      <c r="H21" s="90"/>
    </row>
  </sheetData>
  <sheetProtection algorithmName="SHA-512" hashValue="HqIqgxISNNNvjLm9Mi6nfDNjw1FBDv/6RV9163Kkj2W7Rlmsf4mn4esTndmuaQpIgOzGaLM29YcvboaEQ9t7tQ==" saltValue="JVfNrqtsyCkjASVljkUF3w==" spinCount="100000" sheet="1" objects="1" scenarios="1"/>
  <mergeCells count="1">
    <mergeCell ref="A2:H4"/>
  </mergeCells>
  <dataValidations count="1">
    <dataValidation type="list" allowBlank="1" showInputMessage="1" showErrorMessage="1" sqref="C9">
      <formula1>$C$7:$C$22</formula1>
    </dataValidation>
  </dataValidations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Stocks!$B$6:$B$10</xm:f>
          </x14:formula1>
          <xm:sqref>C7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1:E11"/>
  <sheetViews>
    <sheetView workbookViewId="0">
      <selection activeCell="C14" sqref="A1:XFD1048576"/>
    </sheetView>
  </sheetViews>
  <sheetFormatPr defaultRowHeight="15" x14ac:dyDescent="0.25"/>
  <cols>
    <col min="2" max="2" width="43.42578125" customWidth="1"/>
    <col min="3" max="3" width="30.140625" customWidth="1"/>
    <col min="4" max="4" width="24.42578125" customWidth="1"/>
    <col min="5" max="5" width="24.7109375" customWidth="1"/>
  </cols>
  <sheetData>
    <row r="1" spans="2:5" ht="15.75" thickBot="1" x14ac:dyDescent="0.3"/>
    <row r="2" spans="2:5" x14ac:dyDescent="0.25">
      <c r="B2" s="14" t="s">
        <v>22</v>
      </c>
      <c r="C2" s="15"/>
      <c r="D2" s="15"/>
      <c r="E2" s="16"/>
    </row>
    <row r="3" spans="2:5" x14ac:dyDescent="0.25">
      <c r="B3" s="17"/>
      <c r="C3" s="18"/>
      <c r="D3" s="18"/>
      <c r="E3" s="19"/>
    </row>
    <row r="4" spans="2:5" x14ac:dyDescent="0.25">
      <c r="B4" s="17"/>
      <c r="C4" s="18"/>
      <c r="D4" s="18"/>
      <c r="E4" s="19"/>
    </row>
    <row r="5" spans="2:5" ht="20.25" x14ac:dyDescent="0.25">
      <c r="B5" s="7" t="s">
        <v>5</v>
      </c>
      <c r="C5" s="2" t="s">
        <v>6</v>
      </c>
      <c r="D5" s="2" t="s">
        <v>7</v>
      </c>
      <c r="E5" s="2" t="s">
        <v>8</v>
      </c>
    </row>
    <row r="6" spans="2:5" ht="20.25" x14ac:dyDescent="0.25">
      <c r="B6" s="4"/>
      <c r="C6" s="9"/>
      <c r="D6" s="9"/>
      <c r="E6" s="9"/>
    </row>
    <row r="7" spans="2:5" ht="15.75" x14ac:dyDescent="0.25">
      <c r="B7" s="8" t="s">
        <v>27</v>
      </c>
      <c r="C7" s="42">
        <f>SUMIF(Table1[Item],B7,Table1[Quantity])</f>
        <v>4</v>
      </c>
      <c r="D7" s="42">
        <f>SUMIF(Table17[Item],B7,Table17[Quantity])</f>
        <v>0</v>
      </c>
      <c r="E7" s="42">
        <f>Table3[[#This Row],[Purchase Quantity]]-Table3[[#This Row],[Sales Quantity]]</f>
        <v>4</v>
      </c>
    </row>
    <row r="8" spans="2:5" ht="15.75" x14ac:dyDescent="0.25">
      <c r="B8" s="8" t="s">
        <v>20</v>
      </c>
      <c r="C8" s="43">
        <f>SUMIF(Table1[Item],B8,Table1[Quantity])</f>
        <v>15</v>
      </c>
      <c r="D8" s="42">
        <f>SUMIF(Table17[Item],B8,Table17[Quantity])</f>
        <v>5</v>
      </c>
      <c r="E8" s="42">
        <f>Table3[[#This Row],[Purchase Quantity]]-Table3[[#This Row],[Sales Quantity]]</f>
        <v>10</v>
      </c>
    </row>
    <row r="9" spans="2:5" ht="15.75" x14ac:dyDescent="0.25">
      <c r="B9" s="8" t="s">
        <v>19</v>
      </c>
      <c r="C9" s="43">
        <f>SUMIF(Table1[Item],B9,Table1[Quantity])</f>
        <v>7</v>
      </c>
      <c r="D9" s="42">
        <f>SUMIF(Table17[Item],B9,Table17[Quantity])</f>
        <v>1</v>
      </c>
      <c r="E9" s="42">
        <f>Table3[[#This Row],[Purchase Quantity]]-Table3[[#This Row],[Sales Quantity]]</f>
        <v>6</v>
      </c>
    </row>
    <row r="10" spans="2:5" ht="15.75" x14ac:dyDescent="0.25">
      <c r="B10" s="6" t="s">
        <v>23</v>
      </c>
      <c r="C10" s="43">
        <f>SUMIF(Table1[Item],B10,Table1[Quantity])</f>
        <v>25</v>
      </c>
      <c r="D10" s="42">
        <f>SUMIF(Table17[Item],B10,Table17[Quantity])</f>
        <v>0</v>
      </c>
      <c r="E10" s="42">
        <f>Table3[[#This Row],[Purchase Quantity]]-Table3[[#This Row],[Sales Quantity]]</f>
        <v>25</v>
      </c>
    </row>
    <row r="11" spans="2:5" ht="15.75" x14ac:dyDescent="0.25">
      <c r="B11" s="6" t="s">
        <v>21</v>
      </c>
    </row>
  </sheetData>
  <sheetProtection algorithmName="SHA-512" hashValue="GfOWy5XyAVmwwmuiu4dEPCXeU856ERAwqF5mIBZ4cT8RXIyXKnuQvoSwCCds2PqXSZ3DhvCqkv58TNLeOMLMoQ==" saltValue="wMahgq+7WfQK2YxAQvBhZw==" spinCount="100000" sheet="1" objects="1" scenarios="1"/>
  <mergeCells count="1">
    <mergeCell ref="B2:E4"/>
  </mergeCells>
  <pageMargins left="0.7" right="0.7" top="0.75" bottom="0.75" header="0.3" footer="0.3"/>
  <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2:D10"/>
  <sheetViews>
    <sheetView workbookViewId="0">
      <selection activeCell="F14" sqref="F14"/>
    </sheetView>
  </sheetViews>
  <sheetFormatPr defaultRowHeight="15" x14ac:dyDescent="0.25"/>
  <cols>
    <col min="1" max="1" width="40" bestFit="1" customWidth="1"/>
  </cols>
  <sheetData>
    <row r="2" spans="1:4" ht="15.75" x14ac:dyDescent="0.25">
      <c r="A2" s="10" t="s">
        <v>32</v>
      </c>
    </row>
    <row r="3" spans="1:4" ht="15.75" x14ac:dyDescent="0.25">
      <c r="A3" s="10" t="s">
        <v>31</v>
      </c>
    </row>
    <row r="4" spans="1:4" ht="15.75" x14ac:dyDescent="0.25">
      <c r="A4" s="10" t="s">
        <v>27</v>
      </c>
    </row>
    <row r="5" spans="1:4" ht="15.75" x14ac:dyDescent="0.25">
      <c r="A5" s="12" t="s">
        <v>19</v>
      </c>
    </row>
    <row r="6" spans="1:4" ht="15.75" x14ac:dyDescent="0.25">
      <c r="A6" s="11" t="s">
        <v>23</v>
      </c>
    </row>
    <row r="7" spans="1:4" ht="15.75" x14ac:dyDescent="0.25">
      <c r="A7" s="11" t="s">
        <v>21</v>
      </c>
    </row>
    <row r="8" spans="1:4" ht="15.75" x14ac:dyDescent="0.25">
      <c r="A8" s="13" t="s">
        <v>20</v>
      </c>
    </row>
    <row r="10" spans="1:4" ht="15.75" x14ac:dyDescent="0.25">
      <c r="D10" s="10"/>
    </row>
  </sheetData>
  <sheetProtection algorithmName="SHA-512" hashValue="QfwOMcHOhvsyBL/GyAnpOOeexSzPR3Cr5pwxBBsc74dPK07fuYZZ9wNtxAsylzIpynN6lxWMoyDNNcieNA23WQ==" saltValue="yV+YI7A0eZhpV9zthFgRZQ==" spinCount="100000" sheet="1" objects="1" scenario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Home Screen</vt:lpstr>
      <vt:lpstr>Purchase</vt:lpstr>
      <vt:lpstr>Sales</vt:lpstr>
      <vt:lpstr>Stocks</vt:lpstr>
      <vt:lpstr>New Entry List</vt:lpstr>
      <vt:lpstr>Stocks!Extract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Jay Thaker</dc:creator>
  <cp:keywords>Inventory;Software;Inventory Management;Sales;Purchase;Stocks</cp:keywords>
  <cp:lastModifiedBy>Jay Thaker</cp:lastModifiedBy>
  <dcterms:created xsi:type="dcterms:W3CDTF">2021-03-24T07:52:30Z</dcterms:created>
  <dcterms:modified xsi:type="dcterms:W3CDTF">2021-03-25T11:37:34Z</dcterms:modified>
</cp:coreProperties>
</file>